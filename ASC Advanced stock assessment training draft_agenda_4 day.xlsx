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asmfcorg-my.sharepoint.com/personal/jpatel_asmfc_org/Documents/Desktop/ASC/"/>
    </mc:Choice>
  </mc:AlternateContent>
  <xr:revisionPtr revIDLastSave="14" documentId="13_ncr:1_{1C6DA60A-B024-4D05-A325-149911FA3F84}" xr6:coauthVersionLast="47" xr6:coauthVersionMax="47" xr10:uidLastSave="{35177E65-5CE3-4099-AD32-E291DC5B0097}"/>
  <bookViews>
    <workbookView xWindow="-110" yWindow="-110" windowWidth="19420" windowHeight="11500" xr2:uid="{00000000-000D-0000-FFFF-FFFF00000000}"/>
  </bookViews>
  <sheets>
    <sheet name="4 Day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4" l="1"/>
  <c r="C23" i="4" s="1"/>
  <c r="B24" i="4" s="1"/>
  <c r="C24" i="4" s="1"/>
  <c r="B25" i="4" s="1"/>
  <c r="C25" i="4" s="1"/>
  <c r="B26" i="4" s="1"/>
  <c r="C26" i="4" s="1"/>
  <c r="B27" i="4" s="1"/>
  <c r="C27" i="4" s="1"/>
  <c r="B28" i="4" s="1"/>
  <c r="C28" i="4" s="1"/>
  <c r="C68" i="4"/>
  <c r="B69" i="4" s="1"/>
  <c r="C69" i="4" s="1"/>
  <c r="B70" i="4" s="1"/>
  <c r="C70" i="4" s="1"/>
  <c r="B71" i="4" s="1"/>
  <c r="C71" i="4" s="1"/>
  <c r="B72" i="4" s="1"/>
  <c r="C72" i="4" s="1"/>
  <c r="B73" i="4" s="1"/>
  <c r="C51" i="4"/>
  <c r="B52" i="4" s="1"/>
  <c r="C52" i="4" s="1"/>
  <c r="B53" i="4" s="1"/>
  <c r="C53" i="4" s="1"/>
  <c r="B54" i="4" s="1"/>
  <c r="C54" i="4" s="1"/>
  <c r="B55" i="4" s="1"/>
  <c r="C55" i="4" s="1"/>
  <c r="B56" i="4" s="1"/>
  <c r="C56" i="4" s="1"/>
  <c r="B57" i="4" s="1"/>
  <c r="C57" i="4" s="1"/>
  <c r="B58" i="4" s="1"/>
  <c r="C58" i="4" s="1"/>
  <c r="B59" i="4" s="1"/>
  <c r="C59" i="4" s="1"/>
  <c r="B60" i="4" s="1"/>
  <c r="C60" i="4" s="1"/>
  <c r="B61" i="4" s="1"/>
  <c r="C61" i="4" s="1"/>
  <c r="B62" i="4" s="1"/>
  <c r="C62" i="4" s="1"/>
  <c r="B63" i="4" s="1"/>
  <c r="C34" i="4"/>
  <c r="B35" i="4" s="1"/>
  <c r="C35" i="4" s="1"/>
  <c r="B36" i="4" s="1"/>
  <c r="C36" i="4" s="1"/>
  <c r="B37" i="4" s="1"/>
  <c r="C37" i="4" s="1"/>
  <c r="B38" i="4" s="1"/>
  <c r="C38" i="4" s="1"/>
  <c r="B39" i="4" s="1"/>
  <c r="C39" i="4" s="1"/>
  <c r="B40" i="4" s="1"/>
  <c r="C40" i="4" s="1"/>
  <c r="B41" i="4" s="1"/>
  <c r="C41" i="4" s="1"/>
  <c r="B42" i="4" s="1"/>
  <c r="C42" i="4" s="1"/>
  <c r="B43" i="4" s="1"/>
  <c r="C43" i="4" s="1"/>
  <c r="B44" i="4" s="1"/>
  <c r="C44" i="4" s="1"/>
  <c r="B45" i="4" s="1"/>
  <c r="C45" i="4" s="1"/>
  <c r="B46" i="4" s="1"/>
  <c r="C18" i="4"/>
  <c r="B19" i="4" s="1"/>
  <c r="C19" i="4" s="1"/>
  <c r="B20" i="4" s="1"/>
  <c r="C20" i="4" s="1"/>
  <c r="B21" i="4" s="1"/>
  <c r="C21" i="4" s="1"/>
  <c r="B22" i="4" s="1"/>
  <c r="C22" i="4" s="1"/>
  <c r="C6" i="4"/>
  <c r="B7" i="4" s="1"/>
  <c r="C7" i="4" s="1"/>
  <c r="B8" i="4" s="1"/>
  <c r="C8" i="4" s="1"/>
  <c r="B9" i="4" s="1"/>
  <c r="C9" i="4" s="1"/>
  <c r="B10" i="4" s="1"/>
  <c r="C10" i="4" s="1"/>
  <c r="B11" i="4" s="1"/>
  <c r="C11" i="4" s="1"/>
  <c r="B12" i="4" s="1"/>
  <c r="C12" i="4" s="1"/>
  <c r="B13" i="4" s="1"/>
  <c r="B29" i="4" l="1"/>
</calcChain>
</file>

<file path=xl/sharedStrings.xml><?xml version="1.0" encoding="utf-8"?>
<sst xmlns="http://schemas.openxmlformats.org/spreadsheetml/2006/main" count="117" uniqueCount="54">
  <si>
    <t>Day 1</t>
  </si>
  <si>
    <t>Start</t>
  </si>
  <si>
    <t>End</t>
  </si>
  <si>
    <t>Topic</t>
  </si>
  <si>
    <t>Notes</t>
  </si>
  <si>
    <t>Set up</t>
  </si>
  <si>
    <t>Ensure everyone has WHAM installed and can run a simple example</t>
  </si>
  <si>
    <t>Overview of WHAM</t>
  </si>
  <si>
    <t>Big picture, important differences between ASAP and WHAM, key features, version control, branches</t>
  </si>
  <si>
    <t>Break</t>
  </si>
  <si>
    <t>Work Session</t>
  </si>
  <si>
    <t>Lunch</t>
  </si>
  <si>
    <t>Feedback</t>
  </si>
  <si>
    <t>Small groups share what they found easy and hard, opportunity to ask questions</t>
  </si>
  <si>
    <t>Adjourn for the day</t>
  </si>
  <si>
    <t>Day 2</t>
  </si>
  <si>
    <t>Review from yesterday</t>
  </si>
  <si>
    <t>What was covered yesterday and what is coming today</t>
  </si>
  <si>
    <t>Work Session continued</t>
  </si>
  <si>
    <t>Q&amp;A period</t>
  </si>
  <si>
    <t>Ask Tim about WHAM</t>
  </si>
  <si>
    <t>Day 3</t>
  </si>
  <si>
    <t>Day 4</t>
  </si>
  <si>
    <t>Day 5</t>
  </si>
  <si>
    <t>Wrap up</t>
  </si>
  <si>
    <t>Tim walks throug plots and output files showing where information is located</t>
  </si>
  <si>
    <t>Different ways to get data into WHAM and run it</t>
  </si>
  <si>
    <t>Selecting a model using diagnostics (OSA residuals, retros, etc.) and model comparison tools</t>
  </si>
  <si>
    <t>Including environmental covariates and what to look for when doing so</t>
  </si>
  <si>
    <t>Dealing with error messages and non-convergence</t>
  </si>
  <si>
    <t>How WHAM estimates biological reference points and ways to set up projections</t>
  </si>
  <si>
    <t>Configure selectivity assumptions in WHAM: mean parameters and random effects</t>
  </si>
  <si>
    <t>Configure model assumptions for abundance at age, M, q in WHAM: mean parameters and random effects</t>
  </si>
  <si>
    <r>
      <t>Small groups work on stock applications (</t>
    </r>
    <r>
      <rPr>
        <b/>
        <sz val="10"/>
        <color theme="1"/>
        <rFont val="Arial"/>
        <family val="2"/>
      </rPr>
      <t>NOTE: Need to create small teams to work together</t>
    </r>
    <r>
      <rPr>
        <sz val="10"/>
        <color theme="1"/>
        <rFont val="Arial"/>
        <family val="2"/>
      </rPr>
      <t>)</t>
    </r>
  </si>
  <si>
    <t>Small groups work on stock applications</t>
  </si>
  <si>
    <t>Small groups work on stock applications (create a formulation that does not converge and then fix it)</t>
  </si>
  <si>
    <t>What went well and not so well this week</t>
  </si>
  <si>
    <t>Configure model assumptions for more than 1 stock and/or region with or without movement</t>
  </si>
  <si>
    <t>Statistical Approach</t>
  </si>
  <si>
    <t>State-space models: what are they and why are they the wave of the future</t>
  </si>
  <si>
    <t>Feedback/Q&amp;A Session</t>
  </si>
  <si>
    <t>Vignette 1: data into WHAM</t>
  </si>
  <si>
    <t>Vignette 2: fitting a model and exploring output</t>
  </si>
  <si>
    <t>Vignette 3: Modeling selectivity</t>
  </si>
  <si>
    <t>Vignette 4:  Numbers at age, natural mortality, catchability</t>
  </si>
  <si>
    <t>Vignette 5: Multiple stocks, multiple regions, movement</t>
  </si>
  <si>
    <t>Vignette 6: comparing models: diagnostics, multi-model comparisons</t>
  </si>
  <si>
    <t>Vignette 7: environmental covariates</t>
  </si>
  <si>
    <t>Vignette 8: debugging WHAM models</t>
  </si>
  <si>
    <t>Vignette 9: reference points and projections</t>
  </si>
  <si>
    <t>Waquoit Bay, MA September 29 - October 3, 2025</t>
  </si>
  <si>
    <t>Registration Link</t>
  </si>
  <si>
    <t>Stock Assessment Advanced Training  Agenda</t>
  </si>
  <si>
    <t>https://attendee.gotowebinar.com/register/8443830834638755160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</si>
</sst>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mmm\ d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20" fontId="1" fillId="0" borderId="0" xfId="0" applyNumberFormat="1" applyFont="1"/>
    <xf numFmtId="1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20" fontId="7" fillId="0" borderId="0" xfId="0" applyNumberFormat="1" applyFont="1"/>
    <xf numFmtId="18" fontId="7" fillId="0" borderId="0" xfId="0" applyNumberFormat="1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tendee.gotowebinar.com/register/84438308346387551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2510-D2F9-4119-9EC5-A07A05A9E356}">
  <dimension ref="A1:E80"/>
  <sheetViews>
    <sheetView tabSelected="1" workbookViewId="0">
      <selection activeCell="E14" sqref="E14"/>
    </sheetView>
  </sheetViews>
  <sheetFormatPr defaultColWidth="12.54296875" defaultRowHeight="12.5" x14ac:dyDescent="0.25"/>
  <cols>
    <col min="1" max="1" width="6.7265625" customWidth="1"/>
    <col min="3" max="3" width="19.81640625" bestFit="1" customWidth="1"/>
    <col min="4" max="4" width="37.453125" customWidth="1"/>
    <col min="5" max="5" width="103.1796875" customWidth="1"/>
  </cols>
  <sheetData>
    <row r="1" spans="1:5" ht="15.75" customHeight="1" x14ac:dyDescent="0.4">
      <c r="A1" s="15" t="s">
        <v>52</v>
      </c>
      <c r="B1" s="15"/>
      <c r="C1" s="15"/>
      <c r="D1" s="15"/>
      <c r="E1" t="s">
        <v>51</v>
      </c>
    </row>
    <row r="2" spans="1:5" x14ac:dyDescent="0.25">
      <c r="A2" s="14" t="s">
        <v>50</v>
      </c>
      <c r="B2" s="14"/>
      <c r="C2" s="14"/>
      <c r="D2" s="14"/>
      <c r="E2" s="16" t="s">
        <v>53</v>
      </c>
    </row>
    <row r="4" spans="1:5" ht="13" x14ac:dyDescent="0.3">
      <c r="A4" s="1"/>
      <c r="B4" s="2" t="s">
        <v>0</v>
      </c>
      <c r="C4" s="3">
        <v>45929</v>
      </c>
    </row>
    <row r="5" spans="1:5" x14ac:dyDescent="0.25">
      <c r="B5" s="4" t="s">
        <v>1</v>
      </c>
      <c r="C5" s="4" t="s">
        <v>2</v>
      </c>
      <c r="D5" s="5" t="s">
        <v>3</v>
      </c>
      <c r="E5" s="5" t="s">
        <v>4</v>
      </c>
    </row>
    <row r="6" spans="1:5" x14ac:dyDescent="0.25">
      <c r="A6" s="11">
        <v>2.0833333333333332E-2</v>
      </c>
      <c r="B6" s="7">
        <v>0.54166666666666663</v>
      </c>
      <c r="C6" s="12">
        <f t="shared" ref="C6:C11" si="0">B6+A6</f>
        <v>0.5625</v>
      </c>
      <c r="D6" s="1" t="s">
        <v>38</v>
      </c>
      <c r="E6" s="13" t="s">
        <v>39</v>
      </c>
    </row>
    <row r="7" spans="1:5" x14ac:dyDescent="0.25">
      <c r="A7" s="11">
        <v>4.1666666666666664E-2</v>
      </c>
      <c r="B7" s="7">
        <f t="shared" ref="B7:B11" si="1">C6</f>
        <v>0.5625</v>
      </c>
      <c r="C7" s="7">
        <f t="shared" si="0"/>
        <v>0.60416666666666663</v>
      </c>
      <c r="D7" s="1" t="s">
        <v>7</v>
      </c>
      <c r="E7" s="1" t="s">
        <v>8</v>
      </c>
    </row>
    <row r="8" spans="1:5" x14ac:dyDescent="0.25">
      <c r="A8" s="11">
        <v>2.0833333333333332E-2</v>
      </c>
      <c r="B8" s="7">
        <f t="shared" si="1"/>
        <v>0.60416666666666663</v>
      </c>
      <c r="C8" s="7">
        <f t="shared" si="0"/>
        <v>0.625</v>
      </c>
      <c r="D8" s="1" t="s">
        <v>5</v>
      </c>
      <c r="E8" s="1" t="s">
        <v>6</v>
      </c>
    </row>
    <row r="9" spans="1:5" x14ac:dyDescent="0.25">
      <c r="A9" s="11">
        <v>1.0416666666666666E-2</v>
      </c>
      <c r="B9" s="7">
        <f t="shared" si="1"/>
        <v>0.625</v>
      </c>
      <c r="C9" s="7">
        <f t="shared" si="0"/>
        <v>0.63541666666666663</v>
      </c>
      <c r="D9" s="1" t="s">
        <v>9</v>
      </c>
      <c r="E9" s="1"/>
    </row>
    <row r="10" spans="1:5" x14ac:dyDescent="0.25">
      <c r="A10" s="11">
        <v>2.0833333333333332E-2</v>
      </c>
      <c r="B10" s="7">
        <f>C9</f>
        <v>0.63541666666666663</v>
      </c>
      <c r="C10" s="7">
        <f t="shared" si="0"/>
        <v>0.65625</v>
      </c>
      <c r="D10" s="1" t="s">
        <v>41</v>
      </c>
      <c r="E10" s="1" t="s">
        <v>26</v>
      </c>
    </row>
    <row r="11" spans="1:5" ht="13" x14ac:dyDescent="0.3">
      <c r="A11" s="11">
        <v>3.125E-2</v>
      </c>
      <c r="B11" s="7">
        <f t="shared" si="1"/>
        <v>0.65625</v>
      </c>
      <c r="C11" s="7">
        <f t="shared" si="0"/>
        <v>0.6875</v>
      </c>
      <c r="D11" s="1" t="s">
        <v>10</v>
      </c>
      <c r="E11" s="9" t="s">
        <v>33</v>
      </c>
    </row>
    <row r="12" spans="1:5" x14ac:dyDescent="0.25">
      <c r="A12" s="11">
        <v>2.0833333333333332E-2</v>
      </c>
      <c r="B12" s="7">
        <f t="shared" ref="B12:B13" si="2">C11</f>
        <v>0.6875</v>
      </c>
      <c r="C12" s="7">
        <f t="shared" ref="C12" si="3">B12+A12</f>
        <v>0.70833333333333337</v>
      </c>
      <c r="D12" s="1" t="s">
        <v>12</v>
      </c>
      <c r="E12" s="1" t="s">
        <v>13</v>
      </c>
    </row>
    <row r="13" spans="1:5" x14ac:dyDescent="0.25">
      <c r="B13" s="7">
        <f t="shared" si="2"/>
        <v>0.70833333333333337</v>
      </c>
      <c r="C13" s="8"/>
      <c r="D13" s="1" t="s">
        <v>14</v>
      </c>
    </row>
    <row r="14" spans="1:5" x14ac:dyDescent="0.25">
      <c r="B14" s="8"/>
      <c r="C14" s="8"/>
    </row>
    <row r="15" spans="1:5" x14ac:dyDescent="0.25">
      <c r="B15" s="8"/>
      <c r="C15" s="8"/>
    </row>
    <row r="16" spans="1:5" ht="13" x14ac:dyDescent="0.3">
      <c r="B16" s="2" t="s">
        <v>15</v>
      </c>
      <c r="C16" s="3">
        <v>45930</v>
      </c>
    </row>
    <row r="17" spans="1:5" x14ac:dyDescent="0.25">
      <c r="B17" s="4" t="s">
        <v>1</v>
      </c>
      <c r="C17" s="4" t="s">
        <v>2</v>
      </c>
      <c r="D17" s="5" t="s">
        <v>3</v>
      </c>
      <c r="E17" s="5" t="s">
        <v>4</v>
      </c>
    </row>
    <row r="18" spans="1:5" x14ac:dyDescent="0.25">
      <c r="A18" s="6">
        <v>1.0416666666666666E-2</v>
      </c>
      <c r="B18" s="7">
        <v>0.375</v>
      </c>
      <c r="C18" s="7">
        <f t="shared" ref="C18:C22" si="4">B18+A18</f>
        <v>0.38541666666666669</v>
      </c>
      <c r="D18" s="1" t="s">
        <v>16</v>
      </c>
      <c r="E18" s="1" t="s">
        <v>17</v>
      </c>
    </row>
    <row r="19" spans="1:5" x14ac:dyDescent="0.25">
      <c r="A19" s="6">
        <v>2.0833333333333332E-2</v>
      </c>
      <c r="B19" s="7">
        <f t="shared" ref="B19:B29" si="5">C18</f>
        <v>0.38541666666666669</v>
      </c>
      <c r="C19" s="7">
        <f t="shared" si="4"/>
        <v>0.40625</v>
      </c>
      <c r="D19" s="1" t="s">
        <v>42</v>
      </c>
      <c r="E19" s="1" t="s">
        <v>25</v>
      </c>
    </row>
    <row r="20" spans="1:5" x14ac:dyDescent="0.25">
      <c r="A20" s="6">
        <v>4.1666666666666664E-2</v>
      </c>
      <c r="B20" s="7">
        <f t="shared" si="5"/>
        <v>0.40625</v>
      </c>
      <c r="C20" s="7">
        <f t="shared" si="4"/>
        <v>0.44791666666666669</v>
      </c>
      <c r="D20" s="1" t="s">
        <v>10</v>
      </c>
      <c r="E20" s="1" t="s">
        <v>34</v>
      </c>
    </row>
    <row r="21" spans="1:5" x14ac:dyDescent="0.25">
      <c r="A21" s="6">
        <v>1.0416666666666666E-2</v>
      </c>
      <c r="B21" s="7">
        <f t="shared" si="5"/>
        <v>0.44791666666666669</v>
      </c>
      <c r="C21" s="7">
        <f t="shared" si="4"/>
        <v>0.45833333333333337</v>
      </c>
      <c r="D21" s="1" t="s">
        <v>9</v>
      </c>
    </row>
    <row r="22" spans="1:5" x14ac:dyDescent="0.25">
      <c r="A22" s="6">
        <v>4.1666666666666664E-2</v>
      </c>
      <c r="B22" s="7">
        <f t="shared" si="5"/>
        <v>0.45833333333333337</v>
      </c>
      <c r="C22" s="7">
        <f t="shared" si="4"/>
        <v>0.5</v>
      </c>
      <c r="D22" s="1" t="s">
        <v>12</v>
      </c>
      <c r="E22" s="1" t="s">
        <v>13</v>
      </c>
    </row>
    <row r="23" spans="1:5" x14ac:dyDescent="0.25">
      <c r="A23" s="6">
        <v>4.1666666666666664E-2</v>
      </c>
      <c r="B23" s="7">
        <f t="shared" ref="B23:B28" si="6">C22</f>
        <v>0.5</v>
      </c>
      <c r="C23" s="7">
        <f t="shared" ref="C23:C28" si="7">B23+A23</f>
        <v>0.54166666666666663</v>
      </c>
      <c r="D23" s="1" t="s">
        <v>11</v>
      </c>
    </row>
    <row r="24" spans="1:5" x14ac:dyDescent="0.25">
      <c r="A24" s="6">
        <v>2.0833333333333332E-2</v>
      </c>
      <c r="B24" s="7">
        <f t="shared" si="6"/>
        <v>0.54166666666666663</v>
      </c>
      <c r="C24" s="7">
        <f t="shared" si="7"/>
        <v>0.5625</v>
      </c>
      <c r="D24" s="1" t="s">
        <v>43</v>
      </c>
      <c r="E24" s="1" t="s">
        <v>31</v>
      </c>
    </row>
    <row r="25" spans="1:5" x14ac:dyDescent="0.25">
      <c r="A25" s="6">
        <v>4.1666666666666664E-2</v>
      </c>
      <c r="B25" s="7">
        <f t="shared" si="6"/>
        <v>0.5625</v>
      </c>
      <c r="C25" s="7">
        <f t="shared" si="7"/>
        <v>0.60416666666666663</v>
      </c>
      <c r="D25" s="1" t="s">
        <v>10</v>
      </c>
      <c r="E25" s="1" t="s">
        <v>34</v>
      </c>
    </row>
    <row r="26" spans="1:5" x14ac:dyDescent="0.25">
      <c r="A26" s="6">
        <v>1.0416666666666666E-2</v>
      </c>
      <c r="B26" s="7">
        <f t="shared" si="6"/>
        <v>0.60416666666666663</v>
      </c>
      <c r="C26" s="7">
        <f t="shared" si="7"/>
        <v>0.61458333333333326</v>
      </c>
      <c r="D26" s="1" t="s">
        <v>9</v>
      </c>
    </row>
    <row r="27" spans="1:5" x14ac:dyDescent="0.25">
      <c r="A27" s="6">
        <v>2.0833333333333332E-2</v>
      </c>
      <c r="B27" s="7">
        <f t="shared" si="6"/>
        <v>0.61458333333333326</v>
      </c>
      <c r="C27" s="7">
        <f t="shared" si="7"/>
        <v>0.63541666666666663</v>
      </c>
      <c r="D27" s="1" t="s">
        <v>10</v>
      </c>
      <c r="E27" s="1" t="s">
        <v>34</v>
      </c>
    </row>
    <row r="28" spans="1:5" x14ac:dyDescent="0.25">
      <c r="A28" s="6">
        <v>5.2083333333333336E-2</v>
      </c>
      <c r="B28" s="7">
        <f t="shared" si="6"/>
        <v>0.63541666666666663</v>
      </c>
      <c r="C28" s="7">
        <f t="shared" si="7"/>
        <v>0.6875</v>
      </c>
      <c r="D28" s="1" t="s">
        <v>12</v>
      </c>
      <c r="E28" s="1" t="s">
        <v>13</v>
      </c>
    </row>
    <row r="29" spans="1:5" x14ac:dyDescent="0.25">
      <c r="B29" s="7">
        <f t="shared" si="5"/>
        <v>0.6875</v>
      </c>
      <c r="C29" s="8"/>
      <c r="D29" s="1" t="s">
        <v>14</v>
      </c>
    </row>
    <row r="30" spans="1:5" x14ac:dyDescent="0.25">
      <c r="B30" s="8"/>
      <c r="C30" s="8"/>
    </row>
    <row r="31" spans="1:5" x14ac:dyDescent="0.25">
      <c r="B31" s="8"/>
      <c r="C31" s="8"/>
    </row>
    <row r="32" spans="1:5" ht="13" x14ac:dyDescent="0.3">
      <c r="B32" s="2" t="s">
        <v>21</v>
      </c>
      <c r="C32" s="3">
        <v>45931</v>
      </c>
    </row>
    <row r="33" spans="1:5" x14ac:dyDescent="0.25">
      <c r="B33" s="4" t="s">
        <v>1</v>
      </c>
      <c r="C33" s="4" t="s">
        <v>2</v>
      </c>
      <c r="D33" s="5" t="s">
        <v>3</v>
      </c>
      <c r="E33" s="5" t="s">
        <v>4</v>
      </c>
    </row>
    <row r="34" spans="1:5" x14ac:dyDescent="0.25">
      <c r="A34" s="6">
        <v>1.0416666666666666E-2</v>
      </c>
      <c r="B34" s="7">
        <v>0.375</v>
      </c>
      <c r="C34" s="7">
        <f t="shared" ref="C34:C45" si="8">B34+A34</f>
        <v>0.38541666666666669</v>
      </c>
      <c r="D34" s="1" t="s">
        <v>16</v>
      </c>
      <c r="E34" s="1" t="s">
        <v>17</v>
      </c>
    </row>
    <row r="35" spans="1:5" x14ac:dyDescent="0.25">
      <c r="A35" s="6">
        <v>2.0833333333333332E-2</v>
      </c>
      <c r="B35" s="7">
        <f t="shared" ref="B35:B46" si="9">C34</f>
        <v>0.38541666666666669</v>
      </c>
      <c r="C35" s="7">
        <f t="shared" si="8"/>
        <v>0.40625</v>
      </c>
      <c r="D35" s="1" t="s">
        <v>44</v>
      </c>
      <c r="E35" s="1" t="s">
        <v>32</v>
      </c>
    </row>
    <row r="36" spans="1:5" x14ac:dyDescent="0.25">
      <c r="A36" s="6">
        <v>3.125E-2</v>
      </c>
      <c r="B36" s="7">
        <f t="shared" si="9"/>
        <v>0.40625</v>
      </c>
      <c r="C36" s="7">
        <f t="shared" si="8"/>
        <v>0.4375</v>
      </c>
      <c r="D36" s="1" t="s">
        <v>10</v>
      </c>
      <c r="E36" s="1" t="s">
        <v>34</v>
      </c>
    </row>
    <row r="37" spans="1:5" x14ac:dyDescent="0.25">
      <c r="A37" s="6">
        <v>1.0416666666666666E-2</v>
      </c>
      <c r="B37" s="7">
        <f t="shared" si="9"/>
        <v>0.4375</v>
      </c>
      <c r="C37" s="7">
        <f t="shared" si="8"/>
        <v>0.44791666666666669</v>
      </c>
      <c r="D37" s="1" t="s">
        <v>9</v>
      </c>
    </row>
    <row r="38" spans="1:5" x14ac:dyDescent="0.25">
      <c r="A38" s="6">
        <v>5.2083333333333336E-2</v>
      </c>
      <c r="B38" s="7">
        <f t="shared" si="9"/>
        <v>0.44791666666666669</v>
      </c>
      <c r="C38" s="7">
        <f t="shared" si="8"/>
        <v>0.5</v>
      </c>
      <c r="D38" s="1" t="s">
        <v>45</v>
      </c>
      <c r="E38" s="10" t="s">
        <v>37</v>
      </c>
    </row>
    <row r="39" spans="1:5" x14ac:dyDescent="0.25">
      <c r="A39" s="6">
        <v>2.0833333333333332E-2</v>
      </c>
      <c r="B39" s="7">
        <f t="shared" si="9"/>
        <v>0.5</v>
      </c>
      <c r="C39" s="7">
        <f t="shared" si="8"/>
        <v>0.52083333333333337</v>
      </c>
      <c r="D39" s="1" t="s">
        <v>19</v>
      </c>
      <c r="E39" s="1" t="s">
        <v>20</v>
      </c>
    </row>
    <row r="40" spans="1:5" x14ac:dyDescent="0.25">
      <c r="A40" s="6">
        <v>4.1666666666666664E-2</v>
      </c>
      <c r="B40" s="7">
        <f t="shared" si="9"/>
        <v>0.52083333333333337</v>
      </c>
      <c r="C40" s="7">
        <f t="shared" si="8"/>
        <v>0.5625</v>
      </c>
      <c r="D40" s="1" t="s">
        <v>11</v>
      </c>
    </row>
    <row r="41" spans="1:5" x14ac:dyDescent="0.25">
      <c r="A41" s="6">
        <v>2.0833333333333332E-2</v>
      </c>
      <c r="B41" s="7">
        <f t="shared" si="9"/>
        <v>0.5625</v>
      </c>
      <c r="C41" s="7">
        <f t="shared" si="8"/>
        <v>0.58333333333333337</v>
      </c>
      <c r="D41" s="1" t="s">
        <v>46</v>
      </c>
      <c r="E41" s="1" t="s">
        <v>27</v>
      </c>
    </row>
    <row r="42" spans="1:5" x14ac:dyDescent="0.25">
      <c r="A42" s="6">
        <v>4.1666666666666664E-2</v>
      </c>
      <c r="B42" s="7">
        <f t="shared" si="9"/>
        <v>0.58333333333333337</v>
      </c>
      <c r="C42" s="7">
        <f t="shared" si="8"/>
        <v>0.625</v>
      </c>
      <c r="D42" s="1" t="s">
        <v>10</v>
      </c>
      <c r="E42" s="1" t="s">
        <v>34</v>
      </c>
    </row>
    <row r="43" spans="1:5" x14ac:dyDescent="0.25">
      <c r="A43" s="6">
        <v>1.0416666666666666E-2</v>
      </c>
      <c r="B43" s="7">
        <f t="shared" si="9"/>
        <v>0.625</v>
      </c>
      <c r="C43" s="7">
        <f t="shared" si="8"/>
        <v>0.63541666666666663</v>
      </c>
      <c r="D43" s="1" t="s">
        <v>9</v>
      </c>
    </row>
    <row r="44" spans="1:5" x14ac:dyDescent="0.25">
      <c r="A44" s="6">
        <v>3.125E-2</v>
      </c>
      <c r="B44" s="7">
        <f t="shared" si="9"/>
        <v>0.63541666666666663</v>
      </c>
      <c r="C44" s="7">
        <f t="shared" si="8"/>
        <v>0.66666666666666663</v>
      </c>
      <c r="D44" s="1" t="s">
        <v>18</v>
      </c>
      <c r="E44" s="1" t="s">
        <v>34</v>
      </c>
    </row>
    <row r="45" spans="1:5" x14ac:dyDescent="0.25">
      <c r="A45" s="6">
        <v>2.0833333333333332E-2</v>
      </c>
      <c r="B45" s="7">
        <f t="shared" si="9"/>
        <v>0.66666666666666663</v>
      </c>
      <c r="C45" s="7">
        <f t="shared" si="8"/>
        <v>0.6875</v>
      </c>
      <c r="D45" s="1" t="s">
        <v>12</v>
      </c>
      <c r="E45" s="1" t="s">
        <v>13</v>
      </c>
    </row>
    <row r="46" spans="1:5" x14ac:dyDescent="0.25">
      <c r="B46" s="7">
        <f t="shared" si="9"/>
        <v>0.6875</v>
      </c>
      <c r="C46" s="8"/>
      <c r="D46" s="1" t="s">
        <v>14</v>
      </c>
    </row>
    <row r="47" spans="1:5" x14ac:dyDescent="0.25">
      <c r="B47" s="8"/>
      <c r="C47" s="8"/>
    </row>
    <row r="48" spans="1:5" x14ac:dyDescent="0.25">
      <c r="B48" s="8"/>
      <c r="C48" s="8"/>
    </row>
    <row r="49" spans="1:5" ht="13" x14ac:dyDescent="0.3">
      <c r="B49" s="2" t="s">
        <v>22</v>
      </c>
      <c r="C49" s="3">
        <v>45932</v>
      </c>
    </row>
    <row r="50" spans="1:5" x14ac:dyDescent="0.25">
      <c r="B50" s="4" t="s">
        <v>1</v>
      </c>
      <c r="C50" s="4" t="s">
        <v>2</v>
      </c>
      <c r="D50" s="5" t="s">
        <v>3</v>
      </c>
      <c r="E50" s="5" t="s">
        <v>4</v>
      </c>
    </row>
    <row r="51" spans="1:5" x14ac:dyDescent="0.25">
      <c r="A51" s="6">
        <v>1.0416666666666666E-2</v>
      </c>
      <c r="B51" s="7">
        <v>0.375</v>
      </c>
      <c r="C51" s="7">
        <f t="shared" ref="C51:C62" si="10">B51+A51</f>
        <v>0.38541666666666669</v>
      </c>
      <c r="D51" s="1" t="s">
        <v>16</v>
      </c>
      <c r="E51" s="1" t="s">
        <v>17</v>
      </c>
    </row>
    <row r="52" spans="1:5" x14ac:dyDescent="0.25">
      <c r="A52" s="6">
        <v>2.0833333333333332E-2</v>
      </c>
      <c r="B52" s="7">
        <f t="shared" ref="B52:B63" si="11">C51</f>
        <v>0.38541666666666669</v>
      </c>
      <c r="C52" s="7">
        <f t="shared" si="10"/>
        <v>0.40625</v>
      </c>
      <c r="D52" s="1" t="s">
        <v>47</v>
      </c>
      <c r="E52" s="1" t="s">
        <v>28</v>
      </c>
    </row>
    <row r="53" spans="1:5" x14ac:dyDescent="0.25">
      <c r="A53" s="6">
        <v>4.1666666666666664E-2</v>
      </c>
      <c r="B53" s="7">
        <f t="shared" si="11"/>
        <v>0.40625</v>
      </c>
      <c r="C53" s="7">
        <f t="shared" si="10"/>
        <v>0.44791666666666669</v>
      </c>
      <c r="D53" s="1" t="s">
        <v>10</v>
      </c>
      <c r="E53" s="1" t="s">
        <v>34</v>
      </c>
    </row>
    <row r="54" spans="1:5" x14ac:dyDescent="0.25">
      <c r="A54" s="6">
        <v>1.0416666666666666E-2</v>
      </c>
      <c r="B54" s="7">
        <f t="shared" si="11"/>
        <v>0.44791666666666669</v>
      </c>
      <c r="C54" s="7">
        <f t="shared" si="10"/>
        <v>0.45833333333333337</v>
      </c>
      <c r="D54" s="1" t="s">
        <v>9</v>
      </c>
    </row>
    <row r="55" spans="1:5" x14ac:dyDescent="0.25">
      <c r="A55" s="6">
        <v>5.2083333333333336E-2</v>
      </c>
      <c r="B55" s="7">
        <f t="shared" si="11"/>
        <v>0.45833333333333337</v>
      </c>
      <c r="C55" s="7">
        <f t="shared" si="10"/>
        <v>0.51041666666666674</v>
      </c>
      <c r="D55" s="1" t="s">
        <v>10</v>
      </c>
      <c r="E55" s="1" t="s">
        <v>34</v>
      </c>
    </row>
    <row r="56" spans="1:5" x14ac:dyDescent="0.25">
      <c r="A56" s="6">
        <v>2.0833333333333332E-2</v>
      </c>
      <c r="B56" s="7">
        <f t="shared" si="11"/>
        <v>0.51041666666666674</v>
      </c>
      <c r="C56" s="7">
        <f t="shared" si="10"/>
        <v>0.53125000000000011</v>
      </c>
      <c r="D56" s="1" t="s">
        <v>12</v>
      </c>
      <c r="E56" s="1" t="s">
        <v>13</v>
      </c>
    </row>
    <row r="57" spans="1:5" x14ac:dyDescent="0.25">
      <c r="A57" s="6">
        <v>4.1666666666666664E-2</v>
      </c>
      <c r="B57" s="7">
        <f t="shared" si="11"/>
        <v>0.53125000000000011</v>
      </c>
      <c r="C57" s="7">
        <f t="shared" si="10"/>
        <v>0.57291666666666674</v>
      </c>
      <c r="D57" s="1" t="s">
        <v>11</v>
      </c>
    </row>
    <row r="58" spans="1:5" x14ac:dyDescent="0.25">
      <c r="A58" s="6">
        <v>2.0833333333333332E-2</v>
      </c>
      <c r="B58" s="7">
        <f t="shared" si="11"/>
        <v>0.57291666666666674</v>
      </c>
      <c r="C58" s="7">
        <f t="shared" si="10"/>
        <v>0.59375000000000011</v>
      </c>
      <c r="D58" s="1" t="s">
        <v>48</v>
      </c>
      <c r="E58" s="1" t="s">
        <v>29</v>
      </c>
    </row>
    <row r="59" spans="1:5" x14ac:dyDescent="0.25">
      <c r="A59" s="6">
        <v>3.125E-2</v>
      </c>
      <c r="B59" s="7">
        <f t="shared" si="11"/>
        <v>0.59375000000000011</v>
      </c>
      <c r="C59" s="7">
        <f t="shared" si="10"/>
        <v>0.62500000000000011</v>
      </c>
      <c r="D59" s="1" t="s">
        <v>10</v>
      </c>
      <c r="E59" s="1" t="s">
        <v>35</v>
      </c>
    </row>
    <row r="60" spans="1:5" x14ac:dyDescent="0.25">
      <c r="A60" s="6">
        <v>1.0416666666666666E-2</v>
      </c>
      <c r="B60" s="7">
        <f t="shared" si="11"/>
        <v>0.62500000000000011</v>
      </c>
      <c r="C60" s="7">
        <f t="shared" si="10"/>
        <v>0.63541666666666674</v>
      </c>
      <c r="D60" s="1" t="s">
        <v>9</v>
      </c>
    </row>
    <row r="61" spans="1:5" x14ac:dyDescent="0.25">
      <c r="A61" s="6">
        <v>3.125E-2</v>
      </c>
      <c r="B61" s="7">
        <f t="shared" si="11"/>
        <v>0.63541666666666674</v>
      </c>
      <c r="C61" s="7">
        <f t="shared" si="10"/>
        <v>0.66666666666666674</v>
      </c>
      <c r="D61" s="1" t="s">
        <v>10</v>
      </c>
      <c r="E61" s="1"/>
    </row>
    <row r="62" spans="1:5" x14ac:dyDescent="0.25">
      <c r="A62" s="6">
        <v>2.0833333333333332E-2</v>
      </c>
      <c r="B62" s="7">
        <f t="shared" si="11"/>
        <v>0.66666666666666674</v>
      </c>
      <c r="C62" s="7">
        <f t="shared" si="10"/>
        <v>0.68750000000000011</v>
      </c>
      <c r="D62" s="1" t="s">
        <v>12</v>
      </c>
      <c r="E62" s="1" t="s">
        <v>13</v>
      </c>
    </row>
    <row r="63" spans="1:5" x14ac:dyDescent="0.25">
      <c r="B63" s="7">
        <f t="shared" si="11"/>
        <v>0.68750000000000011</v>
      </c>
      <c r="C63" s="8"/>
      <c r="D63" s="1" t="s">
        <v>14</v>
      </c>
    </row>
    <row r="64" spans="1:5" x14ac:dyDescent="0.25">
      <c r="B64" s="8"/>
      <c r="C64" s="8"/>
    </row>
    <row r="66" spans="1:5" ht="13" x14ac:dyDescent="0.3">
      <c r="B66" s="2" t="s">
        <v>23</v>
      </c>
      <c r="C66" s="3">
        <v>45933</v>
      </c>
    </row>
    <row r="67" spans="1:5" x14ac:dyDescent="0.25">
      <c r="B67" s="4" t="s">
        <v>1</v>
      </c>
      <c r="C67" s="4" t="s">
        <v>2</v>
      </c>
      <c r="D67" s="5" t="s">
        <v>3</v>
      </c>
      <c r="E67" s="5" t="s">
        <v>4</v>
      </c>
    </row>
    <row r="68" spans="1:5" x14ac:dyDescent="0.25">
      <c r="A68" s="6">
        <v>1.0416666666666666E-2</v>
      </c>
      <c r="B68" s="7">
        <v>0.375</v>
      </c>
      <c r="C68" s="7">
        <f t="shared" ref="C68:C69" si="12">B68+A68</f>
        <v>0.38541666666666669</v>
      </c>
      <c r="D68" s="1" t="s">
        <v>16</v>
      </c>
      <c r="E68" s="1" t="s">
        <v>17</v>
      </c>
    </row>
    <row r="69" spans="1:5" x14ac:dyDescent="0.25">
      <c r="A69" s="6">
        <v>2.0833333333333332E-2</v>
      </c>
      <c r="B69" s="7">
        <f t="shared" ref="B69" si="13">C68</f>
        <v>0.38541666666666669</v>
      </c>
      <c r="C69" s="7">
        <f t="shared" si="12"/>
        <v>0.40625</v>
      </c>
      <c r="D69" s="1" t="s">
        <v>49</v>
      </c>
      <c r="E69" s="1" t="s">
        <v>30</v>
      </c>
    </row>
    <row r="70" spans="1:5" x14ac:dyDescent="0.25">
      <c r="A70" s="6">
        <v>4.1666666666666664E-2</v>
      </c>
      <c r="B70" s="7">
        <f>C69</f>
        <v>0.40625</v>
      </c>
      <c r="C70" s="7">
        <f>B70+A70</f>
        <v>0.44791666666666669</v>
      </c>
      <c r="D70" s="1" t="s">
        <v>10</v>
      </c>
      <c r="E70" s="1" t="s">
        <v>34</v>
      </c>
    </row>
    <row r="71" spans="1:5" x14ac:dyDescent="0.25">
      <c r="A71" s="6">
        <v>4.1666666666666664E-2</v>
      </c>
      <c r="B71" s="7">
        <f>C70</f>
        <v>0.44791666666666669</v>
      </c>
      <c r="C71" s="7">
        <f>B71+A71</f>
        <v>0.48958333333333337</v>
      </c>
      <c r="D71" s="1" t="s">
        <v>40</v>
      </c>
      <c r="E71" s="1" t="s">
        <v>20</v>
      </c>
    </row>
    <row r="72" spans="1:5" x14ac:dyDescent="0.25">
      <c r="A72" s="6">
        <v>3.125E-2</v>
      </c>
      <c r="B72" s="7">
        <f>C71</f>
        <v>0.48958333333333337</v>
      </c>
      <c r="C72" s="7">
        <f>B72+A72</f>
        <v>0.52083333333333337</v>
      </c>
      <c r="D72" s="1" t="s">
        <v>24</v>
      </c>
      <c r="E72" s="1" t="s">
        <v>36</v>
      </c>
    </row>
    <row r="73" spans="1:5" x14ac:dyDescent="0.25">
      <c r="A73" s="6"/>
      <c r="B73" s="7">
        <f>C72</f>
        <v>0.52083333333333337</v>
      </c>
      <c r="C73" s="8"/>
      <c r="D73" s="1" t="s">
        <v>14</v>
      </c>
    </row>
    <row r="74" spans="1:5" x14ac:dyDescent="0.25">
      <c r="A74" s="6"/>
      <c r="B74" s="7"/>
      <c r="C74" s="7"/>
      <c r="D74" s="1"/>
    </row>
    <row r="77" spans="1:5" x14ac:dyDescent="0.25">
      <c r="A77" s="6"/>
      <c r="B77" s="7"/>
      <c r="C77" s="7"/>
      <c r="D77" s="1"/>
    </row>
    <row r="79" spans="1:5" x14ac:dyDescent="0.25">
      <c r="A79" s="6"/>
    </row>
    <row r="80" spans="1:5" x14ac:dyDescent="0.25">
      <c r="B80" s="8"/>
      <c r="C80" s="8"/>
    </row>
  </sheetData>
  <mergeCells count="2">
    <mergeCell ref="A2:D2"/>
    <mergeCell ref="A1:D1"/>
  </mergeCells>
  <hyperlinks>
    <hyperlink ref="E2" r:id="rId1" xr:uid="{FA29F07B-7837-4BC4-9287-95EBAB75F3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Timothy.J.Miller</dc:creator>
  <cp:lastModifiedBy>Jainita Patel</cp:lastModifiedBy>
  <dcterms:created xsi:type="dcterms:W3CDTF">2024-04-23T17:54:15Z</dcterms:created>
  <dcterms:modified xsi:type="dcterms:W3CDTF">2025-05-12T16:38:41Z</dcterms:modified>
</cp:coreProperties>
</file>